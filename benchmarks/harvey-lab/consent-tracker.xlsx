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c54ced115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9568df177994c90"/>
    <x:sheet xmlns:r="http://schemas.openxmlformats.org/officeDocument/2006/relationships" name="Consent Tracker" sheetId="2" r:id="Re9edb5beec3b4121"/>
    <x:sheet xmlns:r="http://schemas.openxmlformats.org/officeDocument/2006/relationships" name="Required Consents" sheetId="3" r:id="R6d952ad4c1074a87"/>
    <x:sheet xmlns:r="http://schemas.openxmlformats.org/officeDocument/2006/relationships" name="Legend &amp; Sources" sheetId="4" r:id="R32065529cab3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D78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F4D78"/>
      </x:font>
      <x:fill>
        <x:patternFill patternType="solid">
          <x:bgColor rgb="FFD9EAF7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d63ae20644410" /><Relationship Type="http://schemas.openxmlformats.org/officeDocument/2006/relationships/theme" Target="/xl/theme/theme1.xml" Id="Ra40f160d416d4831" /><Relationship Type="http://schemas.openxmlformats.org/officeDocument/2006/relationships/sharedStrings" Target="/xl/sharedStrings.xml" Id="R18c7618786d043fa" /><Relationship Type="http://schemas.openxmlformats.org/officeDocument/2006/relationships/worksheet" Target="/xl/worksheets/sheet1.xml" Id="R99568df177994c90" /><Relationship Type="http://schemas.openxmlformats.org/officeDocument/2006/relationships/worksheet" Target="/xl/worksheets/sheet2.xml" Id="Re9edb5beec3b4121" /><Relationship Type="http://schemas.openxmlformats.org/officeDocument/2006/relationships/worksheet" Target="/xl/worksheets/sheet3.xml" Id="R6d952ad4c1074a87" /><Relationship Type="http://schemas.openxmlformats.org/officeDocument/2006/relationships/worksheet" Target="/xl/worksheets/sheet4.xml" Id="R32065529cab34fce" /></Relationships>
</file>

<file path=xl/tables/table1.xml><?xml version="1.0" encoding="utf-8"?>
<x:table xmlns:x="http://schemas.openxmlformats.org/spreadsheetml/2006/main" id="1" name="ConsentControlTable" displayName="ConsentControlTable" ref="A4:R18" headerRowCount="1" totalsRowCount="0" totalsRowShown="0">
  <x:tableColumns count="18">
    <x:tableColumn id="1" name="ID"/>
    <x:tableColumn id="2" name="Counterparty"/>
    <x:tableColumn id="3" name="Contract / Date"/>
    <x:tableColumn id="4" name="Key Contact"/>
    <x:tableColumn id="5" name="Notice Address"/>
    <x:tableColumn id="6" name="Provision"/>
    <x:tableColumn id="7" name="Trigger Analysis"/>
    <x:tableColumn id="8" name="Action Classification"/>
    <x:tableColumn id="9" name="SPA Status"/>
    <x:tableColumn id="10" name="Risk"/>
    <x:tableColumn id="11" name="Financial Exposure"/>
    <x:tableColumn id="12" name="Recommended Approach / Timing"/>
    <x:tableColumn id="13" name="Target Date"/>
    <x:tableColumn id="14" name="Owner"/>
    <x:tableColumn id="15" name="Special Issue"/>
    <x:tableColumn id="16" name="Source"/>
    <x:tableColumn id="17" name="Status"/>
    <x:tableColumn id="18" name="Evidence / Comple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dConsentTable" displayName="RequiredConsentTable" ref="A4:K9" headerRowCount="1" totalsRowCount="0" totalsRowShown="0">
  <x:tableColumns count="11">
    <x:tableColumn id="1" name="Counterparty"/>
    <x:tableColumn id="2" name="Contract"/>
    <x:tableColumn id="3" name="Provision"/>
    <x:tableColumn id="4" name="Contact"/>
    <x:tableColumn id="5" name="Notice Address"/>
    <x:tableColumn id="6" name="Key Exposure / Leverage"/>
    <x:tableColumn id="7" name="Tailored Ask"/>
    <x:tableColumn id="8" name="Target"/>
    <x:tableColumn id="9" name="Owner"/>
    <x:tableColumn id="10" name="Status"/>
    <x:tableColumn id="11" name="Letter 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f52d79c0e746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e1a37dbd1140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0" hidden="0" customWidth="1"/>
    <x:col min="4" max="4" width="7" hidden="0" customWidth="1"/>
    <x:col min="5" max="5" width="14" hidden="0" customWidth="1"/>
    <x:col min="6" max="6" width="50" hidden="0" customWidth="1"/>
    <x:col min="7" max="7" width="32" hidden="0" customWidth="1"/>
    <x:col min="8" max="8" width="32" hidden="0" customWidth="1"/>
  </x:cols>
  <x:sheetData>
    <x:row r="1" ht="30" customHeight="1">
      <x:c r="A1" s="3" t="str">
        <x:v>Ridgewell / Luminos Third-Party Consent Control</x:v>
      </x:c>
      <x:c r="B1" s="3" t="str">
        <x:v>Ridgewell / Luminos Third-Party Consent Control</x:v>
      </x:c>
      <x:c r="C1" s="3" t="str">
        <x:v>Ridgewell / Luminos Third-Party Consent Control</x:v>
      </x:c>
      <x:c r="D1" s="3" t="str">
        <x:v>Ridgewell / Luminos Third-Party Consent Control</x:v>
      </x:c>
      <x:c r="E1" s="3" t="str">
        <x:v>Ridgewell / Luminos Third-Party Consent Control</x:v>
      </x:c>
      <x:c r="F1" s="3" t="str">
        <x:v>Ridgewell / Luminos Third-Party Consent Control</x:v>
      </x:c>
      <x:c r="G1" s="3" t="str">
        <x:v>Ridgewell / Luminos Third-Party Consent Control</x:v>
      </x:c>
      <x:c r="H1" s="3" t="str">
        <x:v>Ridgewell / Luminos Third-Party Consent Control</x:v>
      </x:c>
    </x:row>
    <x:row r="2" ht="34" customHeight="1">
      <x:c r="A2" s="6" t="str">
        <x:v>Decision dashboard | SPA dated April 14, 2025 | Target closing June 30, 2025 | Prepared May 5, 2025</x:v>
      </x:c>
      <x:c r="B2" s="6" t="str">
        <x:v>Decision dashboard | SPA dated April 14, 2025 | Target closing June 30, 2025 | Prepared May 5, 2025</x:v>
      </x:c>
      <x:c r="C2" s="6" t="str">
        <x:v>Decision dashboard | SPA dated April 14, 2025 | Target closing June 30, 2025 | Prepared May 5, 2025</x:v>
      </x:c>
      <x:c r="D2" s="6" t="str">
        <x:v>Decision dashboard | SPA dated April 14, 2025 | Target closing June 30, 2025 | Prepared May 5, 2025</x:v>
      </x:c>
      <x:c r="E2" s="6" t="str">
        <x:v>Decision dashboard | SPA dated April 14, 2025 | Target closing June 30, 2025 | Prepared May 5, 2025</x:v>
      </x:c>
      <x:c r="F2" s="6" t="str">
        <x:v>Decision dashboard | SPA dated April 14, 2025 | Target closing June 30, 2025 | Prepared May 5, 2025</x:v>
      </x:c>
      <x:c r="G2" s="6" t="str">
        <x:v>Decision dashboard | SPA dated April 14, 2025 | Target closing June 30, 2025 | Prepared May 5, 2025</x:v>
      </x:c>
      <x:c r="H2" s="6" t="str">
        <x:v>Decision dashboard | SPA dated April 14, 2025 | Target closing June 30, 2025 | Prepared May 5, 2025</x:v>
      </x:c>
    </x:row>
    <x:row r="3" ht="32" customHeight="1">
      <x:c r="A3" s="11" t="str">
        <x:v>Transaction</x:v>
      </x:c>
      <x:c r="B3" s="12" t="str">
        <x:v>Ridgewell Health Systems, Inc. acquisition of 100% of Luminos Diagnostics, Inc.</x:v>
      </x:c>
      <x:c r="D3" s="18" t="str">
        <x:v>Closing-Critical Control Points</x:v>
      </x:c>
      <x:c r="E3" s="18" t="str">
        <x:v>Closing-Critical Control Points</x:v>
      </x:c>
      <x:c r="F3" s="18" t="str">
        <x:v>Closing-Critical Control Points</x:v>
      </x:c>
      <x:c r="G3" s="18" t="str">
        <x:v>Closing-Critical Control Points</x:v>
      </x:c>
      <x:c r="H3" s="18" t="str">
        <x:v>Closing-Critical Control Points</x:v>
      </x:c>
    </x:row>
    <x:row r="4" ht="54" customHeight="1">
      <x:c r="A4" s="11" t="str">
        <x:v>Aggregate purchase price</x:v>
      </x:c>
      <x:c r="B4" s="13" t="n">
        <x:v>385000000</x:v>
      </x:c>
      <x:c r="D4" s="20" t="str">
        <x:v>Meridian</x:v>
      </x:c>
      <x:c r="E4" s="20" t="str">
        <x:v>Required Consent</x:v>
      </x:c>
      <x:c r="F4" s="20" t="str">
        <x:v>$18.7M annual spend / 38% COGS</x:v>
      </x:c>
      <x:c r="G4" s="20" t="str">
        <x:v>Supply disruption; 30-day termination right</x:v>
      </x:c>
      <x:c r="H4" s="20" t="str">
        <x:v>Obtain signed consent before closing</x:v>
      </x:c>
    </x:row>
    <x:row r="5" ht="54" customHeight="1">
      <x:c r="A5" s="11" t="str">
        <x:v>Closing cash consideration</x:v>
      </x:c>
      <x:c r="B5" s="13" t="n">
        <x:v>340000000</x:v>
      </x:c>
      <x:c r="D5" s="20" t="str">
        <x:v>Trident</x:v>
      </x:c>
      <x:c r="E5" s="20" t="str">
        <x:v>Required Consent</x:v>
      </x:c>
      <x:c r="F5" s="20" t="str">
        <x:v>$45-55M projected RespiPlex revenue</x:v>
      </x:c>
      <x:c r="G5" s="20" t="str">
        <x:v>PulmoTech exceeds 25% competitor threshold</x:v>
      </x:c>
      <x:c r="H5" s="20" t="str">
        <x:v>Consent plus tailored waiver and safeguards</x:v>
      </x:c>
    </x:row>
    <x:row r="6" ht="54" customHeight="1">
      <x:c r="A6" s="11" t="str">
        <x:v>Closing cash if VNB repaid</x:v>
      </x:c>
      <x:c r="B6" s="13" t="n">
        <x:v>351400000</x:v>
      </x:c>
      <x:c r="D6" s="20" t="str">
        <x:v>Vanguard National Bank</x:v>
      </x:c>
      <x:c r="E6" s="20" t="str">
        <x:v>Required Consent</x:v>
      </x:c>
      <x:c r="F6" s="20" t="str">
        <x:v>$11.4M outstanding</x:v>
      </x:c>
      <x:c r="G6" s="20" t="str">
        <x:v>Default / acceleration; funding path unresolved</x:v>
      </x:c>
      <x:c r="H6" s="20" t="str">
        <x:v>Consent, payoff, or parent guaranty</x:v>
      </x:c>
    </x:row>
    <x:row r="7" ht="54" customHeight="1">
      <x:c r="A7" s="11" t="str">
        <x:v>Material contracts reviewed</x:v>
      </x:c>
      <x:c r="B7" s="12" t="n">
        <x:f>COUNTA('Consent Tracker'!$B$5:$B$18)</x:f>
        <x:v>14</x:v>
      </x:c>
      <x:c r="D7" s="20" t="str">
        <x:v>Kessler-Braun</x:v>
      </x:c>
      <x:c r="E7" s="20" t="str">
        <x:v>Required Consent</x:v>
      </x:c>
      <x:c r="F7" s="20" t="str">
        <x:v>EP 3,147,522 / 3.5% royalty</x:v>
      </x:c>
      <x:c r="G7" s="20" t="str">
        <x:v>License continuity and redesign risk</x:v>
      </x:c>
      <x:c r="H7" s="20" t="str">
        <x:v>Signed consent before closing</x:v>
      </x:c>
    </x:row>
    <x:row r="8" ht="54" customHeight="1">
      <x:c r="A8" s="11" t="str">
        <x:v>Schedule 6.4 Required Consents</x:v>
      </x:c>
      <x:c r="B8" s="12" t="n">
        <x:f>COUNTIF('Consent Tracker'!$H$5:$H$18,"Required Consent")</x:f>
        <x:v>5</x:v>
      </x:c>
      <x:c r="D8" s="20" t="str">
        <x:v>Pinnacle</x:v>
      </x:c>
      <x:c r="E8" s="20" t="str">
        <x:v>Omitted Schedule Consent</x:v>
      </x:c>
      <x:c r="F8" s="20" t="str">
        <x:v>$1.488M annual rent / 62,000 RSF</x:v>
      </x:c>
      <x:c r="G8" s="20" t="str">
        <x:v>Critical lease omitted from Schedule 6.4</x:v>
      </x:c>
      <x:c r="H8" s="20" t="str">
        <x:v>Amend SPA or obtain written risk acceptance</x:v>
      </x:c>
    </x:row>
    <x:row r="9">
      <x:c r="A9" s="11" t="str">
        <x:v>Critical-risk items</x:v>
      </x:c>
      <x:c r="B9" s="12" t="n">
        <x:f>COUNTIF('Consent Tracker'!$J$5:$J$18,"Critical")</x:f>
        <x:v>4</x:v>
      </x:c>
    </x:row>
    <x:row r="10" ht="32" customHeight="1">
      <x:c r="A10" s="11" t="str">
        <x:v>Best-efforts consents</x:v>
      </x:c>
      <x:c r="B10" s="12" t="n">
        <x:f>COUNTIF('Consent Tracker'!$H$5:$H$18,"Best Efforts Consent*")</x:f>
        <x:v>0</x:v>
      </x:c>
      <x:c r="D10" s="18" t="str">
        <x:v>Execution Priorities</x:v>
      </x:c>
      <x:c r="E10" s="18" t="str">
        <x:v>Execution Priorities</x:v>
      </x:c>
      <x:c r="F10" s="18" t="str">
        <x:v>Execution Priorities</x:v>
      </x:c>
      <x:c r="G10" s="18" t="str">
        <x:v>Execution Priorities</x:v>
      </x:c>
      <x:c r="H10" s="18" t="str">
        <x:v>Execution Priorities</x:v>
      </x:c>
    </x:row>
    <x:row r="11" ht="54" customHeight="1">
      <x:c r="A11" s="11" t="str">
        <x:v>Notifications / acknowledgments</x:v>
      </x:c>
      <x:c r="B11" s="12" t="n">
        <x:f>COUNTIF('Consent Tracker'!$H$5:$H$18,"*Notification*")+COUNTIF('Consent Tracker'!$H$5:$H$18,"*Acknowledgment*")</x:f>
        <x:v>0</x:v>
      </x:c>
      <x:c r="D11" s="20" t="str">
        <x:v>1</x:v>
      </x:c>
      <x:c r="E11" s="20" t="str">
        <x:v>May 5</x:v>
      </x:c>
      <x:c r="F11" s="20" t="str">
        <x:v>Issue five Schedule 6.4 solicitation letters</x:v>
      </x:c>
      <x:c r="G11" s="20" t="str">
        <x:v>Owners: Priya Nair / Victoria Ashworth</x:v>
      </x:c>
      <x:c r="H11" s="20" t="str">
        <x:v>Track signed originals</x:v>
      </x:c>
    </x:row>
    <x:row r="12" ht="54" customHeight="1">
      <x:c r="A12" s="11" t="str">
        <x:v>Current draft-ready items</x:v>
      </x:c>
      <x:c r="B12" s="12" t="n">
        <x:f>COUNTIF('Consent Tracker'!$Q$5:$Q$18,"Draft ready")</x:f>
        <x:v>3</x:v>
      </x:c>
      <x:c r="D12" s="20" t="str">
        <x:v>2</x:v>
      </x:c>
      <x:c r="E12" s="20" t="str">
        <x:v>Immediate</x:v>
      </x:c>
      <x:c r="F12" s="20" t="str">
        <x:v>Escalate Pinnacle omission and two-level Carolina consent</x:v>
      </x:c>
      <x:c r="G12" s="20" t="str">
        <x:v>SPA amendment / written acceptance</x:v>
      </x:c>
      <x:c r="H12" s="20" t="str">
        <x:v>No silent risk transfer</x:v>
      </x:c>
    </x:row>
    <x:row r="13" ht="54" customHeight="1">
      <x:c r="D13" s="20" t="str">
        <x:v>3</x:v>
      </x:c>
      <x:c r="E13" s="20" t="str">
        <x:v>Before funds flow lock</x:v>
      </x:c>
      <x:c r="F13" s="20" t="str">
        <x:v>Resolve VNB continuation, repayment, or guaranty</x:v>
      </x:c>
      <x:c r="G13" s="20" t="str">
        <x:v>$351.4M cash if repaid</x:v>
      </x:c>
      <x:c r="H13" s="20" t="str">
        <x:v>Coordinate payoff mechanics</x:v>
      </x:c>
    </x:row>
    <x:row r="14" ht="54" customHeight="1">
      <x:c r="D14" s="20" t="str">
        <x:v>4</x:v>
      </x:c>
      <x:c r="E14" s="20" t="str">
        <x:v>Pre-closing</x:v>
      </x:c>
      <x:c r="F14" s="20" t="str">
        <x:v>Complete VA notice, DataVault BAA review, successor acknowledgments</x:v>
      </x:c>
      <x:c r="G14" s="20" t="str">
        <x:v>Not closing consents</x:v>
      </x:c>
      <x:c r="H14" s="20" t="str">
        <x:v>Document completion evidence</x:v>
      </x:c>
    </x:row>
  </x:sheetData>
  <x:mergeCells>
    <x:mergeCell ref="A1:H1"/>
    <x:mergeCell ref="A2:H2"/>
    <x:mergeCell ref="D3:H3"/>
    <x:mergeCell ref="D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27" hidden="0" customWidth="1"/>
    <x:col min="5" max="5" width="36" hidden="0" customWidth="1"/>
    <x:col min="6" max="6" width="24" hidden="0" customWidth="1"/>
    <x:col min="7" max="7" width="62" hidden="0" customWidth="1"/>
    <x:col min="8" max="8" width="26" hidden="0" customWidth="1"/>
    <x:col min="9" max="9" width="25" hidden="0" customWidth="1"/>
    <x:col min="10" max="10" width="12" hidden="0" customWidth="1"/>
    <x:col min="11" max="11" width="34" hidden="0" customWidth="1"/>
    <x:col min="12" max="12" width="56" hidden="0" customWidth="1"/>
    <x:col min="13" max="13" width="14" hidden="0" customWidth="1"/>
    <x:col min="14" max="14" width="26" hidden="0" customWidth="1"/>
    <x:col min="15" max="15" width="38" hidden="0" customWidth="1"/>
    <x:col min="16" max="16" width="42" hidden="0" customWidth="1"/>
    <x:col min="17" max="17" width="16" hidden="0" customWidth="1"/>
    <x:col min="18" max="18" width="42" hidden="0" customWidth="1"/>
  </x:cols>
  <x:sheetData>
    <x:row r="1" ht="30" customHeight="1">
      <x:c r="A1" s="3" t="str">
        <x:v>Consent Tracker - 14 Material Contracts</x:v>
      </x:c>
      <x:c r="B1" s="3" t="str">
        <x:v>Consent Tracker - 14 Material Contracts</x:v>
      </x:c>
      <x:c r="C1" s="3" t="str">
        <x:v>Consent Tracker - 14 Material Contracts</x:v>
      </x:c>
      <x:c r="D1" s="3" t="str">
        <x:v>Consent Tracker - 14 Material Contracts</x:v>
      </x:c>
      <x:c r="E1" s="3" t="str">
        <x:v>Consent Tracker - 14 Material Contracts</x:v>
      </x:c>
      <x:c r="F1" s="3" t="str">
        <x:v>Consent Tracker - 14 Material Contracts</x:v>
      </x:c>
      <x:c r="G1" s="3" t="str">
        <x:v>Consent Tracker - 14 Material Contracts</x:v>
      </x:c>
      <x:c r="H1" s="3" t="str">
        <x:v>Consent Tracker - 14 Material Contracts</x:v>
      </x:c>
      <x:c r="I1" s="3" t="str">
        <x:v>Consent Tracker - 14 Material Contracts</x:v>
      </x:c>
      <x:c r="J1" s="3" t="str">
        <x:v>Consent Tracker - 14 Material Contracts</x:v>
      </x:c>
      <x:c r="K1" s="3" t="str">
        <x:v>Consent Tracker - 14 Material Contracts</x:v>
      </x:c>
      <x:c r="L1" s="3" t="str">
        <x:v>Consent Tracker - 14 Material Contracts</x:v>
      </x:c>
      <x:c r="M1" s="3" t="str">
        <x:v>Consent Tracker - 14 Material Contracts</x:v>
      </x:c>
      <x:c r="N1" s="3" t="str">
        <x:v>Consent Tracker - 14 Material Contracts</x:v>
      </x:c>
      <x:c r="O1" s="3" t="str">
        <x:v>Consent Tracker - 14 Material Contracts</x:v>
      </x:c>
      <x:c r="P1" s="3" t="str">
        <x:v>Consent Tracker - 14 Material Contracts</x:v>
      </x:c>
      <x:c r="Q1" s="3" t="str">
        <x:v>Consent Tracker - 14 Material Contracts</x:v>
      </x:c>
      <x:c r="R1" s="3" t="str">
        <x:v>Consent Tracker - 14 Material Contracts</x:v>
      </x:c>
    </x:row>
    <x:row r="2" ht="34" customHeight="1">
      <x:c r="A2" s="6" t="str">
        <x:v>Substantive control register. Classification distinguishes true consents from notifications, acknowledgments, BAA work, and economic consequences.</x:v>
      </x:c>
      <x:c r="B2" s="6" t="str">
        <x:v>Substantive control register. Classification distinguishes true consents from notifications, acknowledgments, BAA work, and economic consequences.</x:v>
      </x:c>
      <x:c r="C2" s="6" t="str">
        <x:v>Substantive control register. Classification distinguishes true consents from notifications, acknowledgments, BAA work, and economic consequences.</x:v>
      </x:c>
      <x:c r="D2" s="6" t="str">
        <x:v>Substantive control register. Classification distinguishes true consents from notifications, acknowledgments, BAA work, and economic consequences.</x:v>
      </x:c>
      <x:c r="E2" s="6" t="str">
        <x:v>Substantive control register. Classification distinguishes true consents from notifications, acknowledgments, BAA work, and economic consequences.</x:v>
      </x:c>
      <x:c r="F2" s="6" t="str">
        <x:v>Substantive control register. Classification distinguishes true consents from notifications, acknowledgments, BAA work, and economic consequences.</x:v>
      </x:c>
      <x:c r="G2" s="6" t="str">
        <x:v>Substantive control register. Classification distinguishes true consents from notifications, acknowledgments, BAA work, and economic consequences.</x:v>
      </x:c>
      <x:c r="H2" s="6" t="str">
        <x:v>Substantive control register. Classification distinguishes true consents from notifications, acknowledgments, BAA work, and economic consequences.</x:v>
      </x:c>
      <x:c r="I2" s="6" t="str">
        <x:v>Substantive control register. Classification distinguishes true consents from notifications, acknowledgments, BAA work, and economic consequences.</x:v>
      </x:c>
      <x:c r="J2" s="6" t="str">
        <x:v>Substantive control register. Classification distinguishes true consents from notifications, acknowledgments, BAA work, and economic consequences.</x:v>
      </x:c>
      <x:c r="K2" s="6" t="str">
        <x:v>Substantive control register. Classification distinguishes true consents from notifications, acknowledgments, BAA work, and economic consequences.</x:v>
      </x:c>
      <x:c r="L2" s="6" t="str">
        <x:v>Substantive control register. Classification distinguishes true consents from notifications, acknowledgments, BAA work, and economic consequences.</x:v>
      </x:c>
      <x:c r="M2" s="6" t="str">
        <x:v>Substantive control register. Classification distinguishes true consents from notifications, acknowledgments, BAA work, and economic consequences.</x:v>
      </x:c>
      <x:c r="N2" s="6" t="str">
        <x:v>Substantive control register. Classification distinguishes true consents from notifications, acknowledgments, BAA work, and economic consequences.</x:v>
      </x:c>
      <x:c r="O2" s="6" t="str">
        <x:v>Substantive control register. Classification distinguishes true consents from notifications, acknowledgments, BAA work, and economic consequences.</x:v>
      </x:c>
      <x:c r="P2" s="6" t="str">
        <x:v>Substantive control register. Classification distinguishes true consents from notifications, acknowledgments, BAA work, and economic consequences.</x:v>
      </x:c>
      <x:c r="Q2" s="6" t="str">
        <x:v>Substantive control register. Classification distinguishes true consents from notifications, acknowledgments, BAA work, and economic consequences.</x:v>
      </x:c>
      <x:c r="R2" s="6" t="str">
        <x:v>Substantive control register. Classification distinguishes true consents from notifications, acknowledgments, BAA work, and economic consequences.</x:v>
      </x:c>
    </x:row>
    <x:row r="4" ht="32" customHeight="1">
      <x:c r="A4" s="18" t="str">
        <x:v>ID</x:v>
      </x:c>
      <x:c r="B4" s="18" t="str">
        <x:v>Counterparty</x:v>
      </x:c>
      <x:c r="C4" s="18" t="str">
        <x:v>Contract / Date</x:v>
      </x:c>
      <x:c r="D4" s="18" t="str">
        <x:v>Key Contact</x:v>
      </x:c>
      <x:c r="E4" s="18" t="str">
        <x:v>Notice Address</x:v>
      </x:c>
      <x:c r="F4" s="18" t="str">
        <x:v>Provision</x:v>
      </x:c>
      <x:c r="G4" s="18" t="str">
        <x:v>Trigger Analysis</x:v>
      </x:c>
      <x:c r="H4" s="18" t="str">
        <x:v>Action Classification</x:v>
      </x:c>
      <x:c r="I4" s="18" t="str">
        <x:v>SPA Status</x:v>
      </x:c>
      <x:c r="J4" s="18" t="str">
        <x:v>Risk</x:v>
      </x:c>
      <x:c r="K4" s="18" t="str">
        <x:v>Financial Exposure</x:v>
      </x:c>
      <x:c r="L4" s="18" t="str">
        <x:v>Recommended Approach / Timing</x:v>
      </x:c>
      <x:c r="M4" s="18" t="str">
        <x:v>Target Date</x:v>
      </x:c>
      <x:c r="N4" s="18" t="str">
        <x:v>Owner</x:v>
      </x:c>
      <x:c r="O4" s="18" t="str">
        <x:v>Special Issue</x:v>
      </x:c>
      <x:c r="P4" s="18" t="str">
        <x:v>Source</x:v>
      </x:c>
      <x:c r="Q4" s="18" t="str">
        <x:v>Status</x:v>
      </x:c>
      <x:c r="R4" s="18" t="str">
        <x:v>Evidence / Completion Note</x:v>
      </x:c>
    </x:row>
    <x:row r="5" ht="92" customHeight="1">
      <x:c r="A5" s="21" t="n">
        <x:v>1</x:v>
      </x:c>
      <x:c r="B5" s="20" t="str">
        <x:v>Meridian Scientific Corporation</x:v>
      </x:c>
      <x:c r="C5" s="20" t="str">
        <x:v>Master Supply Agreement | 2019-03-15</x:v>
      </x:c>
      <x:c r="D5" s="20" t="str">
        <x:v>Harold Tsung, Chief Executive Officer</x:v>
      </x:c>
      <x:c r="E5" s="20" t="str">
        <x:v>7500 Lakeshore Industrial Boulevard, Suite 400, Milwaukee, WI 53214</x:v>
      </x:c>
      <x:c r="F5" s="20" t="str">
        <x:v>Sections 12.3 and 12.4(a)(ii)</x:v>
      </x:c>
      <x:c r="G5" s="20" t="str">
        <x:v>Ridgewell's acquisition of 100% of Luminos is a direct change of control expressly requiring Meridian's prior written consent. An unconsented closing is an Event of Default and permits termination on 30 days' notice.</x:v>
      </x:c>
      <x:c r="H5" s="20" t="str">
        <x:v>Required Consent</x:v>
      </x:c>
      <x:c r="I5" s="20" t="str">
        <x:v>Schedule 6.4 closing condition</x:v>
      </x:c>
      <x:c r="J5" s="20" t="str">
        <x:v>Critical</x:v>
      </x:c>
      <x:c r="K5" s="20" t="str">
        <x:v>$18.7M annual spend; approximately 38% of Luminos COGS; single-largest supplier dependency.</x:v>
      </x:c>
      <x:c r="L5" s="20" t="str">
        <x:v>Send tailored consent request by May 2; lead with continuity and creditworthiness; allow negotiation time because Harold Tsung has expressed consolidation concerns. Obtain signed consent before closing.</x:v>
      </x:c>
      <x:c r="M5" s="22" t="str">
        <x:v>2025-05-02</x:v>
      </x:c>
      <x:c r="N5" s="20" t="str">
        <x:v>Priya Nair / Victoria Ashworth</x:v>
      </x:c>
      <x:c r="O5" s="20" t="str">
        <x:v>Negotiation may be protracted; loss could disrupt proprietary reagent supply.</x:v>
      </x:c>
      <x:c r="P5" s="20" t="str">
        <x:v>Meridian MSA §§12.3, 12.4, 15.1; SPA Schedules 3.7(a), 6.4; strategy email</x:v>
      </x:c>
      <x:c r="Q5" s="20" t="str">
        <x:v>Draft ready</x:v>
      </x:c>
      <x:c r="R5" s="20" t="str">
        <x:v>Pending signed consent, notice confirmation, or documented no-action determination, as applicable.</x:v>
      </x:c>
    </x:row>
    <x:row r="6" ht="92" customHeight="1">
      <x:c r="A6" s="21" t="n">
        <x:v>2</x:v>
      </x:c>
      <x:c r="B6" s="20" t="str">
        <x:v>Apex Instruments International, LLC</x:v>
      </x:c>
      <x:c r="C6" s="20" t="str">
        <x:v>Exclusive Distribution Agreement | 2021-09-01</x:v>
      </x:c>
      <x:c r="D6" s="20" t="str">
        <x:v>Hans Brenner, Vice President, Commercial Operations</x:v>
      </x:c>
      <x:c r="E6" s="20" t="str">
        <x:v>Industriestrasse 47, 8005 Zurich, Switzerland</x:v>
      </x:c>
      <x:c r="F6" s="20" t="str">
        <x:v>Sections 15.1 and 15.2</x:v>
      </x:c>
      <x:c r="G6" s="20" t="str">
        <x:v>Although Luminos survives the stock deal, Section 15.1 expressly treats a merger, acquisition, or change of control as an assignment requiring prior consent. Section 15.2 makes an unconsented assignment null and void ab initio, not merely a breach.</x:v>
      </x:c>
      <x:c r="H6" s="20" t="str">
        <x:v>Required Consent</x:v>
      </x:c>
      <x:c r="I6" s="20" t="str">
        <x:v>Schedule 6.4 closing condition</x:v>
      </x:c>
      <x:c r="J6" s="20" t="str">
        <x:v>High</x:v>
      </x:c>
      <x:c r="K6" s="20" t="str">
        <x:v>$12.5M 2024 and $14.0M 2025 minimum purchase commitments; exclusive distribution through Aug. 31, 2028 across 14 EEA countries plus the UK and Switzerland.</x:v>
      </x:c>
      <x:c r="L6" s="20" t="str">
        <x:v>Send by May 5 and obtain signed consent before closing. Keep commercial continuity prominent; prepare for leverage because Apex is also negotiating with Ridgewell competitor NovaCare Diagnostics.</x:v>
      </x:c>
      <x:c r="M6" s="22" t="str">
        <x:v>2025-05-05</x:v>
      </x:c>
      <x:c r="N6" s="20" t="str">
        <x:v>Priya Nair / Victoria Ashworth</x:v>
      </x:c>
      <x:c r="O6" s="20" t="str">
        <x:v>NovaCare negotiations increase renegotiation leverage; Section 15.2 nullity language materially heightens execution risk.</x:v>
      </x:c>
      <x:c r="P6" s="20" t="str">
        <x:v>Apex Agreement §§15.1, 15.2, 16.1 and Ex. A/C; SPA Schedules 3.7(a), 6.4; strategy email</x:v>
      </x:c>
      <x:c r="Q6" s="20" t="str">
        <x:v>Draft ready</x:v>
      </x:c>
      <x:c r="R6" s="20" t="str">
        <x:v>Pending signed consent, notice confirmation, or documented no-action determination, as applicable.</x:v>
      </x:c>
    </x:row>
    <x:row r="7" ht="92" customHeight="1">
      <x:c r="A7" s="21" t="n">
        <x:v>3</x:v>
      </x:c>
      <x:c r="B7" s="20" t="str">
        <x:v>Trident Bioworks, Inc.</x:v>
      </x:c>
      <x:c r="C7" s="20" t="str">
        <x:v>Co-Development and License Agreement | 2023-01-10</x:v>
      </x:c>
      <x:c r="D7" s="20" t="str">
        <x:v>Samara Obi, General Counsel</x:v>
      </x:c>
      <x:c r="E7" s="20" t="str">
        <x:v>7500 Bayshore Technology Center, Suite 400, San Diego, CA 92121</x:v>
      </x:c>
      <x:c r="F7" s="20" t="str">
        <x:v>Sections 1.5, 1.12, 14.1 and 14.2</x:v>
      </x:c>
      <x:c r="G7" s="20" t="str">
        <x:v>The 100% stock acquisition is a Change of Control. Trident may terminate or elect three-year Competitor Restrictions. PulmoTech Solutions derives approximately 32% of revenue from respiratory diagnostics, exceeding the 25% Competing Business threshold.</x:v>
      </x:c>
      <x:c r="H7" s="20" t="str">
        <x:v>Required Consent</x:v>
      </x:c>
      <x:c r="I7" s="20" t="str">
        <x:v>Schedule 6.4 closing condition (consent or written Competitor Restriction agreement)</x:v>
      </x:c>
      <x:c r="J7" s="20" t="str">
        <x:v>Critical</x:v>
      </x:c>
      <x:c r="K7" s="20" t="str">
        <x:v>$45M-$55M projected RespiPlex revenue for 2025-2029; joint IP ownership is 55% Luminos / 45% Trident.</x:v>
      </x:c>
      <x:c r="L7" s="20" t="str">
        <x:v>Finalize after the Whitford strategy call; openly disclose PulmoTech; commit to comply with Section 14.2 pending any written narrowing; propose information barriers and annual certification; request continuation consent plus a discussion of a narrower formulation or waiver.</x:v>
      </x:c>
      <x:c r="M7" s="22" t="str">
        <x:v>2025-05-05</x:v>
      </x:c>
      <x:c r="N7" s="20" t="str">
        <x:v>Victoria Ashworth / Ryan Kimura</x:v>
      </x:c>
      <x:c r="O7" s="20" t="str">
        <x:v>Highest-priority consent. Restriction bars joint-IP access or licensing to PulmoTech and other &gt;25% respiratory-diagnostics affiliates for three years.</x:v>
      </x:c>
      <x:c r="P7" s="20" t="str">
        <x:v>Trident Agreement §§1.5, 1.12, 7.2, 14.1, 14.2, 16.6; SPA Schedules 3.7(a), 3.14, 6.4; strategy email</x:v>
      </x:c>
      <x:c r="Q7" s="20" t="str">
        <x:v>Client strategy review</x:v>
      </x:c>
      <x:c r="R7" s="20" t="str">
        <x:v>Pending signed consent, notice confirmation, or documented no-action determination, as applicable.</x:v>
      </x:c>
    </x:row>
    <x:row r="8" ht="92" customHeight="1">
      <x:c r="A8" s="21" t="n">
        <x:v>4</x:v>
      </x:c>
      <x:c r="B8" s="20" t="str">
        <x:v>Pinnacle Real Estate Holdings, LLC</x:v>
      </x:c>
      <x:c r="C8" s="20" t="str">
        <x:v>Commercial Lease - Durham Headquarters | 2017-06-01</x:v>
      </x:c>
      <x:c r="D8" s="20" t="str">
        <x:v>Maria Fontaine, Director of Leasing</x:v>
      </x:c>
      <x:c r="E8" s="20" t="str">
        <x:v>Address not provided in excerpt</x:v>
      </x:c>
      <x:c r="F8" s="20" t="str">
        <x:v>Sections 22.1 and 22.3</x:v>
      </x:c>
      <x:c r="G8" s="20" t="str">
        <x:v>A transfer of more than 50% of Luminos equity is deemed an assignment requiring prior landlord consent, subject to a not-unreasonably-withheld, conditioned, or delayed standard. The 100% stock acquisition triggers the clause.</x:v>
      </x:c>
      <x:c r="H8" s="20" t="str">
        <x:v>Best Efforts Consent</x:v>
      </x:c>
      <x:c r="I8" s="20" t="str">
        <x:v>Omitted from Schedule 6.4 - potential drafting gap</x:v>
      </x:c>
      <x:c r="J8" s="20" t="str">
        <x:v>Critical</x:v>
      </x:c>
      <x:c r="K8" s="20" t="str">
        <x:v>$1.488M annual rent; 62,000 RSF headquarters and primary manufacturing facility; lease remedies include termination.</x:v>
      </x:c>
      <x:c r="L8" s="20" t="str">
        <x:v>Escalate immediately. Seek SPA amendment adding Pinnacle to Schedule 6.4 or obtain Ridgewell's written risk acceptance. Begin consent process promptly and obtain consent before closing if possible.</x:v>
      </x:c>
      <x:c r="M8" s="22" t="str">
        <x:v>2025-04-28</x:v>
      </x:c>
      <x:c r="N8" s="20" t="str">
        <x:v>Victoria Ashworth / Priya Nair</x:v>
      </x:c>
      <x:c r="O8" s="20" t="str">
        <x:v>Primary-facility consent appears omitted from closing conditions despite explicit CoC language.</x:v>
      </x:c>
      <x:c r="P8" s="20" t="str">
        <x:v>Pinnacle Lease excerpt §§22.1, 22.3; SPA Schedule 3.7(a); strategy email</x:v>
      </x:c>
      <x:c r="Q8" s="20" t="str">
        <x:v>Escalation required</x:v>
      </x:c>
      <x:c r="R8" s="20" t="str">
        <x:v>Pending signed consent, notice confirmation, or documented no-action determination, as applicable.</x:v>
      </x:c>
    </x:row>
    <x:row r="9" ht="92" customHeight="1">
      <x:c r="A9" s="21" t="n">
        <x:v>5</x:v>
      </x:c>
      <x:c r="B9" s="20" t="str">
        <x:v>Vanguard National Bank, N.A.</x:v>
      </x:c>
      <x:c r="C9" s="20" t="str">
        <x:v>Senior Secured Revolving Credit Agreement | 2022-10-05</x:v>
      </x:c>
      <x:c r="D9" s="20" t="str">
        <x:v>Richard Holloway, Senior Vice President, Healthcare Lending Group</x:v>
      </x:c>
      <x:c r="E9" s="20" t="str">
        <x:v>225 Capital Center Boulevard, Suite 800, Charlotte, NC 28202</x:v>
      </x:c>
      <x:c r="F9" s="20" t="str">
        <x:v>Sections 1.01, 7.09 and 8.01(i)</x:v>
      </x:c>
      <x:c r="G9" s="20" t="str">
        <x:v>VNB's Change of Control threshold is more than 35% of voting equity. Ridgewell's acquisition of 100% clearly triggers prior-consent requirements; an unconsented closing is an Event of Default permitting acceleration.</x:v>
      </x:c>
      <x:c r="H9" s="20" t="str">
        <x:v>Required Consent</x:v>
      </x:c>
      <x:c r="I9" s="20" t="str">
        <x:v>Schedule 6.4 closing condition</x:v>
      </x:c>
      <x:c r="J9" s="20" t="str">
        <x:v>Critical</x:v>
      </x:c>
      <x:c r="K9" s="20" t="str">
        <x:v>$11.4M outstanding and subject to acceleration. If repaid at closing, cash requirement increases from $340.0M to $351.4M.</x:v>
      </x:c>
      <x:c r="L9" s="20" t="str">
        <x:v>Coordinate Ridgewell finance position, then ask VNB to choose among continued facility consent, full repayment at closing, or consent conditioned on a Ridgewell parent guaranty. Obtain written resolution before closing.</x:v>
      </x:c>
      <x:c r="M9" s="22" t="str">
        <x:v>2025-05-05</x:v>
      </x:c>
      <x:c r="N9" s="20" t="str">
        <x:v>Derek Patel / Ryan Kimura</x:v>
      </x:c>
      <x:c r="O9" s="20" t="str">
        <x:v>35% threshold is lower than the usual 50%; Section 8.01(i) acceleration risk affects funds flow.</x:v>
      </x:c>
      <x:c r="P9" s="20" t="str">
        <x:v>VNB Credit Agreement §§1.01, 7.09, 8.01(i), 10.01; SPA Schedules 3.7(a), 6.4; strategy email</x:v>
      </x:c>
      <x:c r="Q9" s="20" t="str">
        <x:v>Finance direction needed</x:v>
      </x:c>
      <x:c r="R9" s="20" t="str">
        <x:v>Pending signed consent, notice confirmation, or documented no-action determination, as applicable.</x:v>
      </x:c>
    </x:row>
    <x:row r="10" ht="92" customHeight="1">
      <x:c r="A10" s="21" t="n">
        <x:v>6</x:v>
      </x:c>
      <x:c r="B10" s="20" t="str">
        <x:v>Clearview Analytics, Inc.</x:v>
      </x:c>
      <x:c r="C10" s="20" t="str">
        <x:v>Enterprise Software License Agreement | 2023-02-01</x:v>
      </x:c>
      <x:c r="D10" s="20" t="str">
        <x:v>Not provided in record</x:v>
      </x:c>
      <x:c r="E10" s="20" t="str">
        <x:v>Not provided in record</x:v>
      </x:c>
      <x:c r="F10" s="20" t="str">
        <x:v>Section 11.2</x:v>
      </x:c>
      <x:c r="G10" s="20" t="str">
        <x:v>Luminos survives as the contracting entity, so the stock deal is not an assignment. The express merger/acquisition successor carve-out independently supports no-consent treatment, conditioned on written agreement to be bound.</x:v>
      </x:c>
      <x:c r="H10" s="20" t="str">
        <x:v>No Consent Required - Acknowledgment</x:v>
      </x:c>
      <x:c r="I10" s="20" t="str">
        <x:v>Non-closing action</x:v>
      </x:c>
      <x:c r="J10" s="20" t="str">
        <x:v>Low</x:v>
      </x:c>
      <x:c r="K10" s="20" t="str">
        <x:v>$276K annual license fee; replacement would disrupt the LIMS platform.</x:v>
      </x:c>
      <x:c r="L10" s="20" t="str">
        <x:v>Provide written acknowledgment that Luminos remains bound; no consent solicitation. Complete before or promptly after closing.</x:v>
      </x:c>
      <x:c r="M10" s="22" t="str">
        <x:v>2025-06-30</x:v>
      </x:c>
      <x:c r="N10" s="20" t="str">
        <x:v>Priya Nair</x:v>
      </x:c>
      <x:c r="O10" s="20" t="str">
        <x:v>Do not misclassify as consent; Ridgewell/Luminos written-bound acknowledgment satisfies the carve-out condition.</x:v>
      </x:c>
      <x:c r="P10" s="20" t="str">
        <x:v>Material-contracts summary §3.1; SPA Schedule 3.7(a)</x:v>
      </x:c>
      <x:c r="Q10" s="20" t="str">
        <x:v>Acknowledgment to prepare</x:v>
      </x:c>
      <x:c r="R10" s="20" t="str">
        <x:v>Pending signed consent, notice confirmation, or documented no-action determination, as applicable.</x:v>
      </x:c>
    </x:row>
    <x:row r="11" ht="92" customHeight="1">
      <x:c r="A11" s="21" t="n">
        <x:v>7</x:v>
      </x:c>
      <x:c r="B11" s="20" t="str">
        <x:v>U.S. Department of Veterans Affairs</x:v>
      </x:c>
      <x:c r="C11" s="20" t="str">
        <x:v>Federal Supply Schedule Contract No. V797P-6843 | 2023-10-01</x:v>
      </x:c>
      <x:c r="D11" s="20" t="str">
        <x:v>James Hargrove, Contracting Officer</x:v>
      </x:c>
      <x:c r="E11" s="20" t="str">
        <x:v>VA National Acquisition Center, Hines, IL</x:v>
      </x:c>
      <x:c r="F11" s="20" t="str">
        <x:v>FAR 42.1204 and FAR 42.1205</x:v>
      </x:c>
      <x:c r="G11" s="20" t="str">
        <x:v>No novation is required under FAR 42.1204 because this is a stock acquisition and Luminos survives as contractor. A post-closing legal-name change would require a name-change agreement under FAR 42.1205.</x:v>
      </x:c>
      <x:c r="H11" s="20" t="str">
        <x:v>Notification Only</x:v>
      </x:c>
      <x:c r="I11" s="20" t="str">
        <x:v>Regulatory/contract administration - not a third-party consent</x:v>
      </x:c>
      <x:c r="J11" s="20" t="str">
        <x:v>Medium</x:v>
      </x:c>
      <x:c r="K11" s="20" t="str">
        <x:v>$6.2M estimated annual contract value.</x:v>
      </x:c>
      <x:c r="L11" s="20" t="str">
        <x:v>Confirm whether Ridgewell will change Luminos's legal name. Send courtesy ownership notification post-closing; if name changes, prepare FAR 42.1205 documentation and coordinate with James Hargrove.</x:v>
      </x:c>
      <x:c r="M11" s="22" t="str">
        <x:v>2025-07-07</x:v>
      </x:c>
      <x:c r="N11" s="20" t="str">
        <x:v>Ryan Kimura / Priya Nair</x:v>
      </x:c>
      <x:c r="O11" s="20" t="str">
        <x:v>Notification only; do not list as consent or novation for an unchanged surviving contractor.</x:v>
      </x:c>
      <x:c r="P11" s="20" t="str">
        <x:v>Material-contracts summary §3.2; SPA Schedule 3.7; strategy email</x:v>
      </x:c>
      <x:c r="Q11" s="20" t="str">
        <x:v>Name-change decision needed</x:v>
      </x:c>
      <x:c r="R11" s="20" t="str">
        <x:v>Pending signed consent, notice confirmation, or documented no-action determination, as applicable.</x:v>
      </x:c>
    </x:row>
    <x:row r="12" ht="92" customHeight="1">
      <x:c r="A12" s="21" t="n">
        <x:v>8</x:v>
      </x:c>
      <x:c r="B12" s="20" t="str">
        <x:v>Kessler-Braun Gesellschaft mbH</x:v>
      </x:c>
      <x:c r="C12" s="20" t="str">
        <x:v>Non-Exclusive Patent License Agreement | 2020-11-15</x:v>
      </x:c>
      <x:c r="D12" s="20" t="str">
        <x:v>Dr. Friedrich Braun, Head of Licensing</x:v>
      </x:c>
      <x:c r="E12" s="20" t="str">
        <x:v>Industriestrasse 42, 80939 Munich, Germany</x:v>
      </x:c>
      <x:c r="F12" s="20" t="str">
        <x:v>Sections 13.4 and 13.5</x:v>
      </x:c>
      <x:c r="G12" s="20" t="str">
        <x:v>The license is personal to Luminos, a Change of Control is deemed an assignment, and there is no merger or successor carve-out. Ridgewell's 100% stock acquisition requires prior written consent.</x:v>
      </x:c>
      <x:c r="H12" s="20" t="str">
        <x:v>Required Consent</x:v>
      </x:c>
      <x:c r="I12" s="20" t="str">
        <x:v>Schedule 6.4 closing condition</x:v>
      </x:c>
      <x:c r="J12" s="20" t="str">
        <x:v>High</x:v>
      </x:c>
      <x:c r="K12" s="20" t="str">
        <x:v>$9.8M 2023 licensed-product net sales; 3.5% running royalty equals $343K, below the $350K minimum, so the minimum applied; loss requires redesign.</x:v>
      </x:c>
      <x:c r="L12" s="20" t="str">
        <x:v>Send a concise consent request by May 5 and obtain signed consent before closing. Do not volunteer concessions; prepare for potential royalty-rate leverage by the licensor.</x:v>
      </x:c>
      <x:c r="M12" s="22" t="str">
        <x:v>2025-05-05</x:v>
      </x:c>
      <x:c r="N12" s="20" t="str">
        <x:v>Priya Nair / Victoria Ashworth</x:v>
      </x:c>
      <x:c r="O12" s="20" t="str">
        <x:v>German biotech licensors may use consent as leverage to renegotiate royalty rates; Sections 13.4-13.5 expressly permit additional consent conditions.</x:v>
      </x:c>
      <x:c r="P12" s="20" t="str">
        <x:v>KB License §§5.1, 5.2, 13.4, 13.5, 15.5; SPA Schedules 3.14, 6.4; strategy email</x:v>
      </x:c>
      <x:c r="Q12" s="20" t="str">
        <x:v>Draft ready</x:v>
      </x:c>
      <x:c r="R12" s="20" t="str">
        <x:v>Pending signed consent, notice confirmation, or documented no-action determination, as applicable.</x:v>
      </x:c>
    </x:row>
    <x:row r="13" ht="92" customHeight="1">
      <x:c r="A13" s="21" t="n">
        <x:v>9</x:v>
      </x:c>
      <x:c r="B13" s="20" t="str">
        <x:v>Carolina Innovation Hub, LLC / Triangle Park Properties, LP</x:v>
      </x:c>
      <x:c r="C13" s="20" t="str">
        <x:v>Sublease Agreement | 2022-04-01</x:v>
      </x:c>
      <x:c r="D13" s="20" t="str">
        <x:v>Specific contacts not provided in record</x:v>
      </x:c>
      <x:c r="E13" s="20" t="str">
        <x:v>100 Innovation Way, Suite 210, Research Triangle Park, NC 27703 (premises)</x:v>
      </x:c>
      <x:c r="F13" s="20" t="str">
        <x:v>Sections 9.1 and 9.2; Master Lease Section 14.3</x:v>
      </x:c>
      <x:c r="G13" s="20" t="str">
        <x:v>The record identifies a two-level process: CIH consent under Section 9.1, not to be unreasonably withheld, and TPP Master Landlord consent under Section 9.2. The Master Lease was not produced, so the trigger standard remains a diligence gap.</x:v>
      </x:c>
      <x:c r="H13" s="20" t="str">
        <x:v>Best Efforts Consent</x:v>
      </x:c>
      <x:c r="I13" s="20" t="str">
        <x:v>Section 5.7 Best Efforts Consent; not Schedule 6.4</x:v>
      </x:c>
      <x:c r="J13" s="20" t="str">
        <x:v>High</x:v>
      </x:c>
      <x:c r="K13" s="20" t="str">
        <x:v>$221K annual rent; 8,500 RSF auxiliary laboratory and storage space.</x:v>
      </x:c>
      <x:c r="L13" s="20" t="str">
        <x:v>Obtain and review the Master Lease immediately; identify both contacts; initiate CIH and TPP consent requests in parallel and track two separate signatures.</x:v>
      </x:c>
      <x:c r="M13" s="22" t="str">
        <x:v>2025-05-15</x:v>
      </x:c>
      <x:c r="N13" s="20" t="str">
        <x:v>Priya Nair</x:v>
      </x:c>
      <x:c r="O13" s="20" t="str">
        <x:v>Two-party consent dynamic can delay completion; one signature is insufficient.</x:v>
      </x:c>
      <x:c r="P13" s="20" t="str">
        <x:v>Material-contracts summary §3.3; SPA Schedule 3.7(a); strategy email</x:v>
      </x:c>
      <x:c r="Q13" s="20" t="str">
        <x:v>Master Lease/contact gap</x:v>
      </x:c>
      <x:c r="R13" s="20" t="str">
        <x:v>Pending signed consent, notice confirmation, or documented no-action determination, as applicable.</x:v>
      </x:c>
    </x:row>
    <x:row r="14" ht="92" customHeight="1">
      <x:c r="A14" s="21" t="n">
        <x:v>10</x:v>
      </x:c>
      <x:c r="B14" s="20" t="str">
        <x:v>DataVault Technologies, Inc.</x:v>
      </x:c>
      <x:c r="C14" s="20" t="str">
        <x:v>Cloud Hosting and Data-Processing Agreement | 2023-07-15</x:v>
      </x:c>
      <x:c r="D14" s="20" t="str">
        <x:v>Not provided in record</x:v>
      </x:c>
      <x:c r="E14" s="20" t="str">
        <x:v>Not provided in record</x:v>
      </x:c>
      <x:c r="F14" s="20" t="str">
        <x:v>Sections 14.1 and 14.2; BAA; 45 C.F.R. § 164.502(a)</x:v>
      </x:c>
      <x:c r="G14" s="20" t="str">
        <x:v>Luminos survives and Section 14.2 contains an express merger/acquisition carve-out, so no contractual consent is required. The incorporated HIPAA Business Associate Agreement requires separate regulatory review.</x:v>
      </x:c>
      <x:c r="H14" s="20" t="str">
        <x:v>No Consent Required - HIPAA/BAA Action</x:v>
      </x:c>
      <x:c r="I14" s="20" t="str">
        <x:v>Regulatory action item; not Schedule 6.4</x:v>
      </x:c>
      <x:c r="J14" s="20" t="str">
        <x:v>Medium</x:v>
      </x:c>
      <x:c r="K14" s="20" t="str">
        <x:v>$432K annual service fees plus operational and HIPAA compliance exposure.</x:v>
      </x:c>
      <x:c r="L14" s="20" t="str">
        <x:v>Do not solicit consent. Request and review the BAA now; ask healthcare regulatory counsel whether Ridgewell must be added as a covered entity or the BAA amended for the post-closing structure.</x:v>
      </x:c>
      <x:c r="M14" s="22" t="str">
        <x:v>2025-05-09</x:v>
      </x:c>
      <x:c r="N14" s="20" t="str">
        <x:v>Priya Nair / Healthcare Regulatory</x:v>
      </x:c>
      <x:c r="O14" s="20" t="str">
        <x:v>Contract carve-out resolves consent, but not HIPAA/BAA ownership-structure implications.</x:v>
      </x:c>
      <x:c r="P14" s="20" t="str">
        <x:v>Material-contracts summary §3.4; SPA Schedule 3.7(a); strategy email</x:v>
      </x:c>
      <x:c r="Q14" s="20" t="str">
        <x:v>BAA missing/review required</x:v>
      </x:c>
      <x:c r="R14" s="20" t="str">
        <x:v>Pending signed consent, notice confirmation, or documented no-action determination, as applicable.</x:v>
      </x:c>
    </x:row>
    <x:row r="15" ht="92" customHeight="1">
      <x:c r="A15" s="21" t="n">
        <x:v>11</x:v>
      </x:c>
      <x:c r="B15" s="20" t="str">
        <x:v>Nexgen Logistics Solutions, Inc.</x:v>
      </x:c>
      <x:c r="C15" s="20" t="str">
        <x:v>Master Services Agreement (Third-Party Logistics) | 2020-05-01</x:v>
      </x:c>
      <x:c r="D15" s="20" t="str">
        <x:v>Not provided in record</x:v>
      </x:c>
      <x:c r="E15" s="20" t="str">
        <x:v>Not provided in record</x:v>
      </x:c>
      <x:c r="F15" s="20" t="str">
        <x:v>Section 18.3</x:v>
      </x:c>
      <x:c r="G15" s="20" t="str">
        <x:v>Section 18.3 prohibits assignment and lacks a CoC carve-out, but does not define assignment to include an indirect ownership change. Luminos survives the stock transaction; consent is arguably not technically required under the stated New York-law analysis.</x:v>
      </x:c>
      <x:c r="H15" s="20" t="str">
        <x:v>Best Efforts Consent</x:v>
      </x:c>
      <x:c r="I15" s="20" t="str">
        <x:v>Section 5.7 precautionary consent; not Schedule 6.4</x:v>
      </x:c>
      <x:c r="J15" s="20" t="str">
        <x:v>Medium</x:v>
      </x:c>
      <x:c r="K15" s="20" t="str">
        <x:v>Approximately $1.1M annual fees; finished-goods warehousing and fulfillment continuity risk.</x:v>
      </x:c>
      <x:c r="L15" s="20" t="str">
        <x:v>Seek consent conservatively after required consents and document that the request is precautionary; confirm why seller listed it on Schedule 3.7(a).</x:v>
      </x:c>
      <x:c r="M15" s="22" t="str">
        <x:v>2025-05-15</x:v>
      </x:c>
      <x:c r="N15" s="20" t="str">
        <x:v>Priya Nair</x:v>
      </x:c>
      <x:c r="O15" s="20" t="str">
        <x:v>Bare anti-assignment clause creates an arguable trigger; stock-deal survival provides the principal no-trigger position.</x:v>
      </x:c>
      <x:c r="P15" s="20" t="str">
        <x:v>Material-contracts summary §3.5; SPA Schedule 3.7(a)</x:v>
      </x:c>
      <x:c r="Q15" s="20" t="str">
        <x:v>Contact to identify</x:v>
      </x:c>
      <x:c r="R15" s="20" t="str">
        <x:v>Pending signed consent, notice confirmation, or documented no-action determination, as applicable.</x:v>
      </x:c>
    </x:row>
    <x:row r="16" ht="92" customHeight="1">
      <x:c r="A16" s="21" t="n">
        <x:v>12</x:v>
      </x:c>
      <x:c r="B16" s="20" t="str">
        <x:v>Hensley &amp; Park Advisors, LLC</x:v>
      </x:c>
      <x:c r="C16" s="20" t="str">
        <x:v>Management Consulting Services Agreement | 2024-08-01</x:v>
      </x:c>
      <x:c r="D16" s="20" t="str">
        <x:v>Not provided in record</x:v>
      </x:c>
      <x:c r="E16" s="20" t="str">
        <x:v>Not provided in record</x:v>
      </x:c>
      <x:c r="F16" s="20" t="str">
        <x:v>Section 7(b)</x:v>
      </x:c>
      <x:c r="G16" s="20" t="str">
        <x:v>The Change of Control gives H&amp;P a 30-day termination right and a fee equal to six months of the $45K monthly retainer. This is an economic consequence, not a consent requirement.</x:v>
      </x:c>
      <x:c r="H16" s="20" t="str">
        <x:v>Economic Consequence - No Consent</x:v>
      </x:c>
      <x:c r="I16" s="20" t="str">
        <x:v>Closing-cost item; not Schedule 6.4</x:v>
      </x:c>
      <x:c r="J16" s="20" t="str">
        <x:v>Medium</x:v>
      </x:c>
      <x:c r="K16" s="20" t="str">
        <x:v>$270K termination fee (6 x $45K); $540K annualized retainer; transition risk for regulatory support.</x:v>
      </x:c>
      <x:c r="L16" s="20" t="str">
        <x:v>Include $270K in closing-cost estimates. Engage H&amp;P about post-closing retention and seek a fee waiver in exchange for extension or expanded scope; no consent request is required.</x:v>
      </x:c>
      <x:c r="M16" s="22" t="str">
        <x:v>2025-05-15</x:v>
      </x:c>
      <x:c r="N16" s="20" t="str">
        <x:v>Business Team / Priya Nair</x:v>
      </x:c>
      <x:c r="O16" s="20" t="str">
        <x:v>Do not misstate a termination right as a consent condition.</x:v>
      </x:c>
      <x:c r="P16" s="20" t="str">
        <x:v>Material-contracts summary §3.6; SPA Schedule 3.7(a)</x:v>
      </x:c>
      <x:c r="Q16" s="20" t="str">
        <x:v>Economic decision required</x:v>
      </x:c>
      <x:c r="R16" s="20" t="str">
        <x:v>Pending signed consent, notice confirmation, or documented no-action determination, as applicable.</x:v>
      </x:c>
    </x:row>
    <x:row r="17" ht="92" customHeight="1">
      <x:c r="A17" s="21" t="n">
        <x:v>13</x:v>
      </x:c>
      <x:c r="B17" s="20" t="str">
        <x:v>Brightline Insurance Brokers, LLC</x:v>
      </x:c>
      <x:c r="C17" s="20" t="str">
        <x:v>Insurance Broker Agreement | 2023-01-15</x:v>
      </x:c>
      <x:c r="D17" s="20" t="str">
        <x:v>Not provided in record</x:v>
      </x:c>
      <x:c r="E17" s="20" t="str">
        <x:v>Not provided in record</x:v>
      </x:c>
      <x:c r="F17" s="20" t="str">
        <x:v>No assignment or change-of-control clause</x:v>
      </x:c>
      <x:c r="G17" s="20" t="str">
        <x:v>The reviewed agreement contains no assignment, change-of-control, consent, notification, or transaction-specific termination provision.</x:v>
      </x:c>
      <x:c r="H17" s="20" t="str">
        <x:v>No Action Required</x:v>
      </x:c>
      <x:c r="I17" s="20" t="str">
        <x:v>No action</x:v>
      </x:c>
      <x:c r="J17" s="20" t="str">
        <x:v>Low</x:v>
      </x:c>
      <x:c r="K17" s="20" t="str">
        <x:v>Approximately $85K annual broker commission; alternatives are readily available.</x:v>
      </x:c>
      <x:c r="L17" s="20" t="str">
        <x:v>No transaction action. Keep on the 14-contract tracker solely to document review completion.</x:v>
      </x:c>
      <x:c r="M17" s="22"/>
      <x:c r="N17" s="20" t="str">
        <x:v>Priya Nair</x:v>
      </x:c>
      <x:c r="O17" s="20" t="str">
        <x:v>None; do not create a consent or notification workstream.</x:v>
      </x:c>
      <x:c r="P17" s="20" t="str">
        <x:v>Material-contracts summary §3.7; SPA Schedule 3.7</x:v>
      </x:c>
      <x:c r="Q17" s="20" t="str">
        <x:v>Complete - no action</x:v>
      </x:c>
      <x:c r="R17" s="20" t="str">
        <x:v>Pending signed consent, notice confirmation, or documented no-action determination, as applicable.</x:v>
      </x:c>
    </x:row>
    <x:row r="18" ht="92" customHeight="1">
      <x:c r="A18" s="21" t="n">
        <x:v>14</x:v>
      </x:c>
      <x:c r="B18" s="20" t="str">
        <x:v>Wellspring University Health System</x:v>
      </x:c>
      <x:c r="C18" s="20" t="str">
        <x:v>Research Collaboration Agreement | 2024-10-01</x:v>
      </x:c>
      <x:c r="D18" s="20" t="str">
        <x:v>Not provided in record</x:v>
      </x:c>
      <x:c r="E18" s="20" t="str">
        <x:v>Not provided in record</x:v>
      </x:c>
      <x:c r="F18" s="20" t="str">
        <x:v>Sections 1.8 and 11.2</x:v>
      </x:c>
      <x:c r="G18" s="20" t="str">
        <x:v>The successor carve-out permits the transaction if the successor agrees in writing to be bound and is not a Restricted Entity. Restricted Entity means an FDA-debarred entity under 21 U.S.C. § 335a.</x:v>
      </x:c>
      <x:c r="H18" s="20" t="str">
        <x:v>Notification/Acknowledgment</x:v>
      </x:c>
      <x:c r="I18" s="20" t="str">
        <x:v>Non-closing action; not Schedule 6.4</x:v>
      </x:c>
      <x:c r="J18" s="20" t="str">
        <x:v>High</x:v>
      </x:c>
      <x:c r="K18" s="20" t="str">
        <x:v>$1.8M annual research funding plus clinical-validation data needed for RespiPlex and two pipeline assays.</x:v>
      </x:c>
      <x:c r="L18" s="20" t="str">
        <x:v>Before notice, confirm Ridgewell and all subsidiaries, including PulmoTech, are not FDA-debarred. Prepare written-bound acknowledgment and deliver at or promptly after closing.</x:v>
      </x:c>
      <x:c r="M18" s="22" t="str">
        <x:v>2025-06-30</x:v>
      </x:c>
      <x:c r="N18" s="20" t="str">
        <x:v>Healthcare Regulatory / Priya Nair</x:v>
      </x:c>
      <x:c r="O18" s="20" t="str">
        <x:v>Carve-out is self-executing only if both written-assumption and FDA-debarment conditions are satisfied.</x:v>
      </x:c>
      <x:c r="P18" s="20" t="str">
        <x:v>Material-contracts summary §3.8; SPA Schedule 3.7(a)</x:v>
      </x:c>
      <x:c r="Q18" s="20" t="str">
        <x:v>Debarment diligence required</x:v>
      </x:c>
      <x:c r="R18" s="20" t="str">
        <x:v>Pending signed consent, notice confirmation, or documented no-action determination, as applicable.</x:v>
      </x:c>
    </x:row>
  </x:sheetData>
  <x:mergeCells>
    <x:mergeCell ref="A1:R1"/>
    <x:mergeCell ref="A2:R2"/>
  </x:mergeCells>
  <x:conditionalFormatting sqref="J5:J18">
    <x:cfRule type="containsText" dxfId="0" priority="1" operator="containsText" text="Critical"/>
    <x:cfRule type="containsText" dxfId="1" priority="2" operator="containsText" text="High"/>
  </x:conditionalFormatting>
  <x:conditionalFormatting sqref="H5:H18">
    <x:cfRule type="containsText" dxfId="2" priority="3" operator="containsText" text="Required Consent"/>
  </x:conditionalFormatting>
  <x:conditionalFormatting sqref="Q5:Q18">
    <x:cfRule type="containsText" dxfId="3" priority="4" operator="containsText" text="Complete"/>
  </x:conditionalFormatting>
  <x:dataValidations count="2">
    <x:dataValidation type="list" sqref="J5:J18">
      <x:formula1>"Critical,High,Medium,Low"</x:formula1>
    </x:dataValidation>
    <x:dataValidation type="list" sqref="Q5:Q18">
      <x:formula1>"Draft ready,In progress,Pending,Complete,No action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f52d79c0e746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9" hidden="0" customWidth="1"/>
    <x:col min="3" max="3" width="22" hidden="0" customWidth="1"/>
    <x:col min="4" max="4" width="28" hidden="0" customWidth="1"/>
    <x:col min="5" max="5" width="38" hidden="0" customWidth="1"/>
    <x:col min="6" max="6" width="40" hidden="0" customWidth="1"/>
    <x:col min="7" max="7" width="50" hidden="0" customWidth="1"/>
    <x:col min="8" max="8" width="14" hidden="0" customWidth="1"/>
    <x:col min="9" max="9" width="28" hidden="0" customWidth="1"/>
    <x:col min="10" max="10" width="16" hidden="0" customWidth="1"/>
    <x:col min="11" max="11" width="38" hidden="0" customWidth="1"/>
  </x:cols>
  <x:sheetData>
    <x:row r="1" ht="30" customHeight="1">
      <x:c r="A1" s="3" t="str">
        <x:v>Schedule 6.4 Required Consents</x:v>
      </x:c>
      <x:c r="B1" s="3" t="str">
        <x:v>Schedule 6.4 Required Consents</x:v>
      </x:c>
      <x:c r="C1" s="3" t="str">
        <x:v>Schedule 6.4 Required Consents</x:v>
      </x:c>
      <x:c r="D1" s="3" t="str">
        <x:v>Schedule 6.4 Required Consents</x:v>
      </x:c>
      <x:c r="E1" s="3" t="str">
        <x:v>Schedule 6.4 Required Consents</x:v>
      </x:c>
      <x:c r="F1" s="3" t="str">
        <x:v>Schedule 6.4 Required Consents</x:v>
      </x:c>
      <x:c r="G1" s="3" t="str">
        <x:v>Schedule 6.4 Required Consents</x:v>
      </x:c>
      <x:c r="H1" s="3" t="str">
        <x:v>Schedule 6.4 Required Consents</x:v>
      </x:c>
      <x:c r="I1" s="3" t="str">
        <x:v>Schedule 6.4 Required Consents</x:v>
      </x:c>
      <x:c r="J1" s="3" t="str">
        <x:v>Schedule 6.4 Required Consents</x:v>
      </x:c>
      <x:c r="K1" s="3" t="str">
        <x:v>Schedule 6.4 Required Consents</x:v>
      </x:c>
    </x:row>
    <x:row r="2" ht="34" customHeight="1">
      <x:c r="A2" s="6" t="str">
        <x:v>Exactly five closing-condition consents. Letters are dated May 5, 2025; obtain signed originals before June 30, 2025.</x:v>
      </x:c>
      <x:c r="B2" s="6" t="str">
        <x:v>Exactly five closing-condition consents. Letters are dated May 5, 2025; obtain signed originals before June 30, 2025.</x:v>
      </x:c>
      <x:c r="C2" s="6" t="str">
        <x:v>Exactly five closing-condition consents. Letters are dated May 5, 2025; obtain signed originals before June 30, 2025.</x:v>
      </x:c>
      <x:c r="D2" s="6" t="str">
        <x:v>Exactly five closing-condition consents. Letters are dated May 5, 2025; obtain signed originals before June 30, 2025.</x:v>
      </x:c>
      <x:c r="E2" s="6" t="str">
        <x:v>Exactly five closing-condition consents. Letters are dated May 5, 2025; obtain signed originals before June 30, 2025.</x:v>
      </x:c>
      <x:c r="F2" s="6" t="str">
        <x:v>Exactly five closing-condition consents. Letters are dated May 5, 2025; obtain signed originals before June 30, 2025.</x:v>
      </x:c>
      <x:c r="G2" s="6" t="str">
        <x:v>Exactly five closing-condition consents. Letters are dated May 5, 2025; obtain signed originals before June 30, 2025.</x:v>
      </x:c>
      <x:c r="H2" s="6" t="str">
        <x:v>Exactly five closing-condition consents. Letters are dated May 5, 2025; obtain signed originals before June 30, 2025.</x:v>
      </x:c>
      <x:c r="I2" s="6" t="str">
        <x:v>Exactly five closing-condition consents. Letters are dated May 5, 2025; obtain signed originals before June 30, 2025.</x:v>
      </x:c>
      <x:c r="J2" s="6" t="str">
        <x:v>Exactly five closing-condition consents. Letters are dated May 5, 2025; obtain signed originals before June 30, 2025.</x:v>
      </x:c>
      <x:c r="K2" s="6" t="str">
        <x:v>Exactly five closing-condition consents. Letters are dated May 5, 2025; obtain signed originals before June 30, 2025.</x:v>
      </x:c>
    </x:row>
    <x:row r="4" ht="32" customHeight="1">
      <x:c r="A4" s="18" t="str">
        <x:v>Counterparty</x:v>
      </x:c>
      <x:c r="B4" s="18" t="str">
        <x:v>Contract</x:v>
      </x:c>
      <x:c r="C4" s="18" t="str">
        <x:v>Provision</x:v>
      </x:c>
      <x:c r="D4" s="18" t="str">
        <x:v>Contact</x:v>
      </x:c>
      <x:c r="E4" s="18" t="str">
        <x:v>Notice Address</x:v>
      </x:c>
      <x:c r="F4" s="18" t="str">
        <x:v>Key Exposure / Leverage</x:v>
      </x:c>
      <x:c r="G4" s="18" t="str">
        <x:v>Tailored Ask</x:v>
      </x:c>
      <x:c r="H4" s="18" t="str">
        <x:v>Target</x:v>
      </x:c>
      <x:c r="I4" s="18" t="str">
        <x:v>Owner</x:v>
      </x:c>
      <x:c r="J4" s="18" t="str">
        <x:v>Status</x:v>
      </x:c>
      <x:c r="K4" s="18" t="str">
        <x:v>Letter Control</x:v>
      </x:c>
    </x:row>
    <x:row r="5" ht="90" customHeight="1">
      <x:c r="A5" s="20" t="str">
        <x:v>Meridian Scientific Corporation</x:v>
      </x:c>
      <x:c r="B5" s="20" t="str">
        <x:v>Master Supply Agreement | 2019-03-15</x:v>
      </x:c>
      <x:c r="C5" s="20" t="str">
        <x:v>Sections 12.3 and 12.4(a)(ii)</x:v>
      </x:c>
      <x:c r="D5" s="20" t="str">
        <x:v>Harold Tsung, Chief Executive Officer</x:v>
      </x:c>
      <x:c r="E5" s="20" t="str">
        <x:v>7500 Lakeshore Industrial Boulevard, Suite 400, Milwaukee, WI 53214</x:v>
      </x:c>
      <x:c r="F5" s="20" t="str">
        <x:v>$18.7M annual spend; approximately 38% of Luminos COGS; single-largest supplier dependency.</x:v>
      </x:c>
      <x:c r="G5" s="20" t="str">
        <x:v>Consent; confirm no default or termination right; preserve supply continuity.</x:v>
      </x:c>
      <x:c r="H5" s="20" t="str">
        <x:v>2025-05-02</x:v>
      </x:c>
      <x:c r="I5" s="20" t="str">
        <x:v>Priya Nair / Victoria Ashworth</x:v>
      </x:c>
      <x:c r="J5" s="20" t="str">
        <x:v>Draft ready</x:v>
      </x:c>
      <x:c r="K5" s="20" t="str">
        <x:v>Included in consent-solicitation-letters.docx; signature acknowledgment required.</x:v>
      </x:c>
    </x:row>
    <x:row r="6" ht="90" customHeight="1">
      <x:c r="A6" s="20" t="str">
        <x:v>Apex Instruments International, LLC</x:v>
      </x:c>
      <x:c r="B6" s="20" t="str">
        <x:v>Exclusive Distribution Agreement | 2021-09-01</x:v>
      </x:c>
      <x:c r="C6" s="20" t="str">
        <x:v>Sections 15.1 and 15.2</x:v>
      </x:c>
      <x:c r="D6" s="20" t="str">
        <x:v>Hans Brenner, Vice President, Commercial Operations</x:v>
      </x:c>
      <x:c r="E6" s="20" t="str">
        <x:v>Industriestrasse 47, 8005 Zurich, Switzerland</x:v>
      </x:c>
      <x:c r="F6" s="20" t="str">
        <x:v>$12.5M 2024 and $14.0M 2025 minimum purchase commitments; exclusive distribution through Aug. 31, 2028 across 14 EEA countries plus the UK and Switzerland.</x:v>
      </x:c>
      <x:c r="G6" s="20" t="str">
        <x:v>Consent; confirm transaction is not a prohibited or void assignment.</x:v>
      </x:c>
      <x:c r="H6" s="20" t="str">
        <x:v>2025-05-05</x:v>
      </x:c>
      <x:c r="I6" s="20" t="str">
        <x:v>Priya Nair / Victoria Ashworth</x:v>
      </x:c>
      <x:c r="J6" s="20" t="str">
        <x:v>Draft ready</x:v>
      </x:c>
      <x:c r="K6" s="20" t="str">
        <x:v>Included in consent-solicitation-letters.docx; signature acknowledgment required.</x:v>
      </x:c>
    </x:row>
    <x:row r="7" ht="90" customHeight="1">
      <x:c r="A7" s="20" t="str">
        <x:v>Trident Bioworks, Inc.</x:v>
      </x:c>
      <x:c r="B7" s="20" t="str">
        <x:v>Co-Development and License Agreement | 2023-01-10</x:v>
      </x:c>
      <x:c r="C7" s="20" t="str">
        <x:v>Sections 1.5, 1.12, 14.1 and 14.2</x:v>
      </x:c>
      <x:c r="D7" s="20" t="str">
        <x:v>Samara Obi, General Counsel</x:v>
      </x:c>
      <x:c r="E7" s="20" t="str">
        <x:v>7500 Bayshore Technology Center, Suite 400, San Diego, CA 92121</x:v>
      </x:c>
      <x:c r="F7" s="20" t="str">
        <x:v>$45M-$55M projected RespiPlex revenue for 2025-2029; joint IP ownership is 55% Luminos / 45% Trident.</x:v>
      </x:c>
      <x:c r="G7" s="20" t="str">
        <x:v>Consent plus tailored waiver/narrowing; information barriers and annual certification.</x:v>
      </x:c>
      <x:c r="H7" s="20" t="str">
        <x:v>2025-05-05</x:v>
      </x:c>
      <x:c r="I7" s="20" t="str">
        <x:v>Victoria Ashworth / Ryan Kimura</x:v>
      </x:c>
      <x:c r="J7" s="20" t="str">
        <x:v>Client strategy review</x:v>
      </x:c>
      <x:c r="K7" s="20" t="str">
        <x:v>Included in consent-solicitation-letters.docx; signature acknowledgment required.</x:v>
      </x:c>
    </x:row>
    <x:row r="8" ht="90" customHeight="1">
      <x:c r="A8" s="20" t="str">
        <x:v>Vanguard National Bank, N.A.</x:v>
      </x:c>
      <x:c r="B8" s="20" t="str">
        <x:v>Senior Secured Revolving Credit Agreement | 2022-10-05</x:v>
      </x:c>
      <x:c r="C8" s="20" t="str">
        <x:v>Sections 1.01, 7.09 and 8.01(i)</x:v>
      </x:c>
      <x:c r="D8" s="20" t="str">
        <x:v>Richard Holloway, Senior Vice President, Healthcare Lending Group</x:v>
      </x:c>
      <x:c r="E8" s="20" t="str">
        <x:v>225 Capital Center Boulevard, Suite 800, Charlotte, NC 28202</x:v>
      </x:c>
      <x:c r="F8" s="20" t="str">
        <x:v>$11.4M outstanding and subject to acceleration. If repaid at closing, cash requirement increases from $340.0M to $351.4M.</x:v>
      </x:c>
      <x:c r="G8" s="20"/>
      <x:c r="H8" s="20" t="str">
        <x:v>2025-05-05</x:v>
      </x:c>
      <x:c r="I8" s="20" t="str">
        <x:v>Derek Patel / Ryan Kimura</x:v>
      </x:c>
      <x:c r="J8" s="20" t="str">
        <x:v>Finance direction needed</x:v>
      </x:c>
      <x:c r="K8" s="20" t="str">
        <x:v>Included in consent-solicitation-letters.docx; signature acknowledgment required.</x:v>
      </x:c>
    </x:row>
    <x:row r="9" ht="90" customHeight="1">
      <x:c r="A9" s="20" t="str">
        <x:v>Kessler-Braun Gesellschaft mbH</x:v>
      </x:c>
      <x:c r="B9" s="20" t="str">
        <x:v>Non-Exclusive Patent License Agreement | 2020-11-15</x:v>
      </x:c>
      <x:c r="C9" s="20" t="str">
        <x:v>Sections 13.4 and 13.5</x:v>
      </x:c>
      <x:c r="D9" s="20" t="str">
        <x:v>Dr. Friedrich Braun, Head of Licensing</x:v>
      </x:c>
      <x:c r="E9" s="20" t="str">
        <x:v>Industriestrasse 42, 80939 Munich, Germany</x:v>
      </x:c>
      <x:c r="F9" s="20" t="str">
        <x:v>$9.8M 2023 licensed-product net sales; 3.5% running royalty equals $343K, below the $350K minimum, so the minimum applied; loss requires redesign.</x:v>
      </x:c>
      <x:c r="G9" s="20" t="str">
        <x:v>Consent; confirm EP 3,147,522 license remains in full force.</x:v>
      </x:c>
      <x:c r="H9" s="20" t="str">
        <x:v>2025-05-05</x:v>
      </x:c>
      <x:c r="I9" s="20" t="str">
        <x:v>Priya Nair / Victoria Ashworth</x:v>
      </x:c>
      <x:c r="J9" s="20" t="str">
        <x:v>Draft ready</x:v>
      </x:c>
      <x:c r="K9" s="20" t="str">
        <x:v>Included in consent-solicitation-letters.docx; signature acknowledgment required.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ae1a37dbd1140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  <x:col min="3" max="3" width="48" hidden="0" customWidth="1"/>
    <x:col min="5" max="5" width="35" hidden="0" customWidth="1"/>
    <x:col min="6" max="6" width="35" hidden="0" customWidth="1"/>
  </x:cols>
  <x:sheetData>
    <x:row r="1" ht="30" customHeight="1">
      <x:c r="A1" s="3" t="str">
        <x:v>Legend, Decision Rules &amp; Sources</x:v>
      </x:c>
      <x:c r="B1" s="3" t="str">
        <x:v>Legend, Decision Rules &amp; Sources</x:v>
      </x:c>
      <x:c r="C1" s="3" t="str">
        <x:v>Legend, Decision Rules &amp; Sources</x:v>
      </x:c>
      <x:c r="D1" s="3" t="str">
        <x:v>Legend, Decision Rules &amp; Sources</x:v>
      </x:c>
      <x:c r="E1" s="3" t="str">
        <x:v>Legend, Decision Rules &amp; Sources</x:v>
      </x:c>
      <x:c r="F1" s="3" t="str">
        <x:v>Legend, Decision Rules &amp; Sources</x:v>
      </x:c>
    </x:row>
    <x:row r="2" ht="34" customHeight="1">
      <x:c r="A2" s="6" t="str">
        <x:v>Use the action classification, not the risk label, to determine whether a signed third-party consent is legally required.</x:v>
      </x:c>
      <x:c r="B2" s="6" t="str">
        <x:v>Use the action classification, not the risk label, to determine whether a signed third-party consent is legally required.</x:v>
      </x:c>
      <x:c r="C2" s="6" t="str">
        <x:v>Use the action classification, not the risk label, to determine whether a signed third-party consent is legally required.</x:v>
      </x:c>
      <x:c r="D2" s="6" t="str">
        <x:v>Use the action classification, not the risk label, to determine whether a signed third-party consent is legally required.</x:v>
      </x:c>
      <x:c r="E2" s="6" t="str">
        <x:v>Use the action classification, not the risk label, to determine whether a signed third-party consent is legally required.</x:v>
      </x:c>
      <x:c r="F2" s="6" t="str">
        <x:v>Use the action classification, not the risk label, to determine whether a signed third-party consent is legally required.</x:v>
      </x:c>
    </x:row>
    <x:row r="3" ht="32" customHeight="1">
      <x:c r="A3" s="18" t="str">
        <x:v>Action classification</x:v>
      </x:c>
      <x:c r="B3" s="18" t="str">
        <x:v>Decision rule</x:v>
      </x:c>
      <x:c r="C3" s="18" t="str">
        <x:v>Control treatment</x:v>
      </x:c>
      <x:c r="E3" s="18" t="str">
        <x:v>Risk</x:v>
      </x:c>
      <x:c r="F3" s="18" t="str">
        <x:v>Meaning</x:v>
      </x:c>
    </x:row>
    <x:row r="4" ht="50" customHeight="1">
      <x:c r="A4" s="24" t="str">
        <x:v>Required Consent</x:v>
      </x:c>
      <x:c r="B4" s="20" t="str">
        <x:v>Contract expressly treats this 100% stock acquisition as a consent-triggering change of control.</x:v>
      </x:c>
      <x:c r="C4" s="20" t="str">
        <x:v>Signed consent required before closing.</x:v>
      </x:c>
      <x:c r="E4" s="20" t="str">
        <x:v>Critical</x:v>
      </x:c>
      <x:c r="F4" s="20" t="str">
        <x:v>Could block closing or materially impair supply, financing, IP, facilities, or key collaboration.</x:v>
      </x:c>
    </x:row>
    <x:row r="5" ht="50" customHeight="1">
      <x:c r="A5" s="24" t="str">
        <x:v>Best Efforts Consent</x:v>
      </x:c>
      <x:c r="B5" s="20" t="str">
        <x:v>Consent is prudent or contractually implicated but not listed as a Schedule 6.4 closing condition.</x:v>
      </x:c>
      <x:c r="C5" s="20" t="str">
        <x:v>Use commercially reasonable / best efforts; escalate residual risk.</x:v>
      </x:c>
      <x:c r="E5" s="20" t="str">
        <x:v>High</x:v>
      </x:c>
      <x:c r="F5" s="20" t="str">
        <x:v>Material operational/economic exposure or meaningful leverage; executive escalation required.</x:v>
      </x:c>
    </x:row>
    <x:row r="6" ht="50" customHeight="1">
      <x:c r="A6" s="24" t="str">
        <x:v>Notification Only</x:v>
      </x:c>
      <x:c r="B6" s="20" t="str">
        <x:v>No approval right, but contract or federal rule calls for notice.</x:v>
      </x:c>
      <x:c r="C6" s="20" t="str">
        <x:v>Send notice and retain delivery evidence.</x:v>
      </x:c>
      <x:c r="E6" s="20" t="str">
        <x:v>Medium</x:v>
      </x:c>
      <x:c r="F6" s="20" t="str">
        <x:v>Manageable execution requirement; track to documented completion.</x:v>
      </x:c>
    </x:row>
    <x:row r="7" ht="50" customHeight="1">
      <x:c r="A7" s="24" t="str">
        <x:v>No Consent Required - Acknowledgment</x:v>
      </x:c>
      <x:c r="B7" s="20" t="str">
        <x:v>Successor/M&amp;A carve-out applies, subject to written assumption or confirmation.</x:v>
      </x:c>
      <x:c r="C7" s="20" t="str">
        <x:v>Obtain acknowledgment where the writing closes the carve-out condition.</x:v>
      </x:c>
      <x:c r="E7" s="20" t="str">
        <x:v>Low</x:v>
      </x:c>
      <x:c r="F7" s="20" t="str">
        <x:v>Limited consequence; retain analysis and evidence.</x:v>
      </x:c>
    </x:row>
    <x:row r="8" ht="64" customHeight="1">
      <x:c r="A8" s="24" t="str">
        <x:v>No Consent Required - HIPAA/BAA Action</x:v>
      </x:c>
      <x:c r="B8" s="20" t="str">
        <x:v>No consent trigger; privacy allocation still requires operational review.</x:v>
      </x:c>
      <x:c r="C8" s="20" t="str">
        <x:v>Review BAA / covered-entity status and amend if needed.</x:v>
      </x:c>
    </x:row>
    <x:row r="9" ht="32" customHeight="1">
      <x:c r="A9" s="24" t="str">
        <x:v>Economic Consequence - No Consent</x:v>
      </x:c>
      <x:c r="B9" s="20" t="str">
        <x:v>Transaction does not need approval, but may create a fee or termination economics.</x:v>
      </x:c>
      <x:c r="C9" s="20" t="str">
        <x:v>Model and accept/mitigate cost; do not mislabel as consent.</x:v>
      </x:c>
      <x:c r="E9" s="18" t="str">
        <x:v>Transaction facts</x:v>
      </x:c>
      <x:c r="F9" s="18" t="str">
        <x:v>Value</x:v>
      </x:c>
    </x:row>
    <x:row r="10" ht="64" customHeight="1">
      <x:c r="A10" s="24" t="str">
        <x:v>No Action Required</x:v>
      </x:c>
      <x:c r="B10" s="20" t="str">
        <x:v>No assignment/change-of-control provision or other action trigger.</x:v>
      </x:c>
      <x:c r="C10" s="20" t="str">
        <x:v>Document no-action conclusion.</x:v>
      </x:c>
      <x:c r="E10" s="24" t="str">
        <x:v>Buyer</x:v>
      </x:c>
      <x:c r="F10" s="20" t="str">
        <x:v>Ridgewell Health Systems, Inc.</x:v>
      </x:c>
    </x:row>
    <x:row r="11" ht="64" customHeight="1">
      <x:c r="A11" s="24" t="str">
        <x:v>Notification/Acknowledgment</x:v>
      </x:c>
      <x:c r="B11" s="20" t="str">
        <x:v>Successor carve-out plus written assumption / eligibility confirmation.</x:v>
      </x:c>
      <x:c r="C11" s="20" t="str">
        <x:v>Provide writing and retain confirmation.</x:v>
      </x:c>
      <x:c r="E11" s="24" t="str">
        <x:v>Target</x:v>
      </x:c>
      <x:c r="F11" s="20" t="str">
        <x:v>Luminos Diagnostics, Inc.</x:v>
      </x:c>
    </x:row>
    <x:row r="12">
      <x:c r="E12" s="24" t="str">
        <x:v>Structure</x:v>
      </x:c>
      <x:c r="F12" s="20" t="str">
        <x:v>Acquisition of 100% of the outstanding capital stock of Luminos Diagnostics, Inc.</x:v>
      </x:c>
    </x:row>
    <x:row r="13">
      <x:c r="E13" s="24" t="str">
        <x:v>SPA date</x:v>
      </x:c>
      <x:c r="F13" s="20" t="str">
        <x:v>2025-04-14</x:v>
      </x:c>
    </x:row>
    <x:row r="14" ht="32" customHeight="1">
      <x:c r="A14" s="18" t="str">
        <x:v>Source file</x:v>
      </x:c>
      <x:c r="B14" s="18" t="str">
        <x:v>Coverage</x:v>
      </x:c>
      <x:c r="C14" s="18" t="str">
        <x:v>Use</x:v>
      </x:c>
      <x:c r="E14" s="24" t="str">
        <x:v>Target closing</x:v>
      </x:c>
      <x:c r="F14" s="20" t="str">
        <x:v>2025-06-30</x:v>
      </x:c>
    </x:row>
    <x:row r="15" ht="48" customHeight="1">
      <x:c r="A15" s="20" t="str">
        <x:v>spa-excerpts.docx</x:v>
      </x:c>
      <x:c r="B15" s="20" t="str">
        <x:v>SPA definitions, Sections 3.7 / 6.4, schedules</x:v>
      </x:c>
      <x:c r="C15" s="20" t="str">
        <x:v>Closing condition and Required Consent universe</x:v>
      </x:c>
      <x:c r="E15" s="24" t="str">
        <x:v>Purchase price</x:v>
      </x:c>
      <x:c r="F15" s="25" t="n">
        <x:v>385000000</x:v>
      </x:c>
    </x:row>
    <x:row r="16" ht="48" customHeight="1">
      <x:c r="A16" s="20" t="str">
        <x:v>material-contracts-summary.docx</x:v>
      </x:c>
      <x:c r="B16" s="20" t="str">
        <x:v>Fourteen-contract universe and commercial facts</x:v>
      </x:c>
      <x:c r="C16" s="20" t="str">
        <x:v>Completeness and cross-contract classification</x:v>
      </x:c>
      <x:c r="E16" s="24" t="str">
        <x:v>Closing cash</x:v>
      </x:c>
      <x:c r="F16" s="25" t="n">
        <x:v>340000000</x:v>
      </x:c>
    </x:row>
    <x:row r="17" ht="48" customHeight="1">
      <x:c r="A17" s="20" t="str">
        <x:v>consent-strategy-email.eml</x:v>
      </x:c>
      <x:c r="B17" s="20" t="str">
        <x:v>Timing, contacts, leverage, escalation instructions</x:v>
      </x:c>
      <x:c r="C17" s="20" t="str">
        <x:v>Execution strategy and letter tailoring</x:v>
      </x:c>
      <x:c r="E17" s="24" t="str">
        <x:v>Closing cash if VNB repaid</x:v>
      </x:c>
      <x:c r="F17" s="25" t="n">
        <x:v>351400000</x:v>
      </x:c>
    </x:row>
    <x:row r="18" ht="48" customHeight="1">
      <x:c r="A18" s="20" t="str">
        <x:v>meridian-supply-agreement.docx</x:v>
      </x:c>
      <x:c r="B18" s="20" t="str">
        <x:v>Sections 12.3 / 12.4 / 15.1</x:v>
      </x:c>
      <x:c r="C18" s="20" t="str">
        <x:v>Meridian trigger, default, notice</x:v>
      </x:c>
    </x:row>
    <x:row r="19" ht="48" customHeight="1">
      <x:c r="A19" s="20" t="str">
        <x:v>apex-distribution-agreement.docx</x:v>
      </x:c>
      <x:c r="B19" s="20" t="str">
        <x:v>Sections 15.1 / 15.2</x:v>
      </x:c>
      <x:c r="C19" s="20" t="str">
        <x:v>Apex assignment and voidness consequence</x:v>
      </x:c>
    </x:row>
    <x:row r="20" ht="48" customHeight="1">
      <x:c r="A20" s="20" t="str">
        <x:v>trident-codevelopment-agreement.docx</x:v>
      </x:c>
      <x:c r="B20" s="20" t="str">
        <x:v>Sections 14.1 / 14.2</x:v>
      </x:c>
      <x:c r="C20" s="20" t="str">
        <x:v>Competitor threshold, restrictions, consent</x:v>
      </x:c>
    </x:row>
    <x:row r="21" ht="48" customHeight="1">
      <x:c r="A21" s="20" t="str">
        <x:v>vnb-credit-agreement.docx</x:v>
      </x:c>
      <x:c r="B21" s="20" t="str">
        <x:v>Sections 7.09 / 8.01(i)</x:v>
      </x:c>
      <x:c r="C21" s="20" t="str">
        <x:v>35% threshold, default and acceleration</x:v>
      </x:c>
    </x:row>
    <x:row r="22" ht="48" customHeight="1">
      <x:c r="A22" s="20" t="str">
        <x:v>kessler-braun-license.docx</x:v>
      </x:c>
      <x:c r="B22" s="20" t="str">
        <x:v>Sections 13.4 / 13.5</x:v>
      </x:c>
      <x:c r="C22" s="20" t="str">
        <x:v>Personal license and deemed assignment</x:v>
      </x:c>
    </x:row>
    <x:row r="23" ht="48" customHeight="1">
      <x:c r="A23" s="20" t="str">
        <x:v>pinnacle-lease-excerpt.docx</x:v>
      </x:c>
      <x:c r="B23" s="20" t="str">
        <x:v>Sections 22.1 / 22.3</x:v>
      </x:c>
      <x:c r="C23" s="20" t="str">
        <x:v>Lease consent and Schedule 6.4 omission</x:v>
      </x:c>
    </x:row>
  </x:sheetData>
  <x:mergeCells>
    <x:mergeCell ref="A1:F1"/>
    <x:mergeCell ref="A2:F2"/>
  </x:mergeCells>
  <x:pageMargins left="0.7" right="0.7" top="0.75" bottom="0.75" header="0.3" footer="0.3"/>
</x:worksheet>
</file>